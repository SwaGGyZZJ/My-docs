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8e157d6a9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本对比" sheetId="1" r:id="Rca29296c1e014c4a"/>
    <x:sheet xmlns:r="http://schemas.openxmlformats.org/officeDocument/2006/relationships" name="计价输入" sheetId="2" r:id="Rda6a1fc27752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#,##0"/>
    <x:numFmt numFmtId="202" formatCode="&quot;$&quot;0.000000"/>
    <x:numFmt numFmtId="203" formatCode="+0.00%;-0.00%;0.00%"/>
    <x:numFmt numFmtId="204" formatCode="&quot;$&quot;0.000"/>
  </x:numFmts>
  <x:fonts count="7">
    <x:font>
      <x:sz val="11"/>
      <x:name val="Carlito"/>
    </x:font>
    <x:font>
      <x:sz val="10"/>
      <x:color rgb="FF17212B"/>
      <x:name val="Arial"/>
    </x:font>
    <x:font>
      <x:b/>
      <x:sz val="14"/>
      <x:color rgb="FF17365D"/>
      <x:name val="Arial"/>
    </x:font>
    <x:font>
      <x:i/>
      <x:sz val="10"/>
      <x:color rgb="FF526071"/>
      <x:name val="Arial"/>
    </x:font>
    <x:font>
      <x:b/>
      <x:sz val="10"/>
      <x:color rgb="FFFFFFFF"/>
      <x:name val="Arial"/>
    </x:font>
    <x:font>
      <x:b/>
      <x:sz val="11"/>
      <x:color rgb="FF17365D"/>
      <x:name val="Arial"/>
    </x:font>
    <x:font>
      <x:b/>
      <x:sz val="10"/>
      <x:color rgb="FF52607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435A73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f2d15f86941ae" /><Relationship Type="http://schemas.openxmlformats.org/officeDocument/2006/relationships/theme" Target="/xl/theme/theme1.xml" Id="Ra4009cc148c7491e" /><Relationship Type="http://schemas.openxmlformats.org/officeDocument/2006/relationships/sharedStrings" Target="/xl/sharedStrings.xml" Id="R919969714737462a" /><Relationship Type="http://schemas.openxmlformats.org/officeDocument/2006/relationships/worksheet" Target="/xl/worksheets/sheet1.xml" Id="Rca29296c1e014c4a" /><Relationship Type="http://schemas.openxmlformats.org/officeDocument/2006/relationships/worksheet" Target="/xl/worksheets/sheet2.xml" Id="Rda6a1fc277524e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 ht="26" customHeight="1">
      <x:c r="A2" s="2" t="str">
        <x:v>RepoProbe 六组 DeepSeek Flash 成本估算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122 道共同题；仅最终一次回答；USD；非高峰为主表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28" customHeight="1">
      <x:c r="A5" s="7" t="str">
        <x:v>组别</x:v>
      </x:c>
      <x:c r="B5" s="7" t="str">
        <x:v>均分 /10</x:v>
      </x:c>
      <x:c r="C5" s="7" t="str">
        <x:v>总 Token/题</x:v>
      </x:c>
      <x:c r="D5" s="7" t="str">
        <x:v>缓存读取/题</x:v>
      </x:c>
      <x:c r="E5" s="7" t="str">
        <x:v>非高峰 USD/题</x:v>
      </x:c>
      <x:c r="F5" s="7" t="str">
        <x:v>非高峰 USD/122题</x:v>
      </x:c>
      <x:c r="G5" s="7" t="str">
        <x:v>成本较基线</x:v>
      </x:c>
      <x:c r="H5" s="7" t="str">
        <x:v>高峰 USD/题</x:v>
      </x:c>
      <x:c r="I5" s="7" t="str">
        <x:v>高峰 USD/122题</x:v>
      </x:c>
    </x:row>
    <x:row r="6">
      <x:c r="A6" s="12" t="str">
        <x:f>'计价输入'!A6</x:f>
        <x:v>仅代码仓</x:v>
      </x:c>
      <x:c r="B6" s="13" t="n">
        <x:f>'计价输入'!C6</x:f>
        <x:v>5.393443</x:v>
      </x:c>
      <x:c r="C6" s="14" t="n">
        <x:f>'计价输入'!H6/'计价输入'!B6</x:f>
        <x:v>254305.37704918033</x:v>
      </x:c>
      <x:c r="D6" s="14" t="n">
        <x:f>'计价输入'!E6/'计价输入'!B6</x:f>
        <x:v>172602.22950819673</x:v>
      </x:c>
      <x:c r="E6" s="15" t="n">
        <x:f>'计价输入'!J6/'计价输入'!B6</x:f>
        <x:v>0.015042031278688524</x:v>
      </x:c>
      <x:c r="F6" s="15" t="n">
        <x:f>'计价输入'!J6</x:f>
        <x:v>1.835127816</x:v>
      </x:c>
      <x:c r="G6" s="16" t="n">
        <x:f>F6/$F$6-1</x:f>
        <x:v>0</x:v>
      </x:c>
      <x:c r="H6" s="15" t="n">
        <x:f>'计价输入'!K6/'计价输入'!B6</x:f>
        <x:v>0.03008406255737705</x:v>
      </x:c>
      <x:c r="I6" s="15" t="n">
        <x:f>'计价输入'!K6</x:f>
        <x:v>3.670255632</x:v>
      </x:c>
    </x:row>
    <x:row r="7">
      <x:c r="A7" s="1" t="str">
        <x:f>'计价输入'!A7</x:f>
        <x:v>代码仓 + 强制 OpenWiki</x:v>
      </x:c>
      <x:c r="B7" s="8" t="n">
        <x:f>'计价输入'!C7</x:f>
        <x:v>5.655738</x:v>
      </x:c>
      <x:c r="C7" s="9" t="n">
        <x:f>'计价输入'!H7/'计价输入'!B7</x:f>
        <x:v>470792.0737704918</x:v>
      </x:c>
      <x:c r="D7" s="9" t="n">
        <x:f>'计价输入'!E7/'计价输入'!B7</x:f>
        <x:v>334555.2786885246</x:v>
      </x:c>
      <x:c r="E7" s="10" t="n">
        <x:f>'计价输入'!J7/'计价输入'!B7</x:f>
        <x:v>0.024653830180327865</x:v>
      </x:c>
      <x:c r="F7" s="10" t="n">
        <x:f>'计价输入'!J7</x:f>
        <x:v>3.0077672819999997</x:v>
      </x:c>
      <x:c r="G7" s="11" t="n">
        <x:f>F7/$F$6-1</x:f>
        <x:v>0.6389960719771466</x:v>
      </x:c>
      <x:c r="H7" s="10" t="n">
        <x:f>'计价输入'!K7/'计价输入'!B7</x:f>
        <x:v>0.04930766036065573</x:v>
      </x:c>
      <x:c r="I7" s="10" t="n">
        <x:f>'计价输入'!K7</x:f>
        <x:v>6.015534563999999</x:v>
      </x:c>
    </x:row>
    <x:row r="8">
      <x:c r="A8" s="1" t="str">
        <x:f>'计价输入'!A8</x:f>
        <x:v>代码仓 + 可选 OpenWiki</x:v>
      </x:c>
      <x:c r="B8" s="8" t="n">
        <x:f>'计价输入'!C8</x:f>
        <x:v>5.614754</x:v>
      </x:c>
      <x:c r="C8" s="9" t="n">
        <x:f>'计价输入'!H8/'计价输入'!B8</x:f>
        <x:v>314703.2786885246</x:v>
      </x:c>
      <x:c r="D8" s="9" t="n">
        <x:f>'计价输入'!E8/'计价输入'!B8</x:f>
        <x:v>217520.7868852459</x:v>
      </x:c>
      <x:c r="E8" s="10" t="n">
        <x:f>'计价输入'!J8/'计价输入'!B8</x:f>
        <x:v>0.017674373016393442</x:v>
      </x:c>
      <x:c r="F8" s="10" t="n">
        <x:f>'计价输入'!J8</x:f>
        <x:v>2.156273508</x:v>
      </x:c>
      <x:c r="G8" s="11" t="n">
        <x:f>F8/$F$6-1</x:f>
        <x:v>0.1749990868211002</x:v>
      </x:c>
      <x:c r="H8" s="10" t="n">
        <x:f>'计价输入'!K8/'计价输入'!B8</x:f>
        <x:v>0.035348746032786885</x:v>
      </x:c>
      <x:c r="I8" s="10" t="n">
        <x:f>'计价输入'!K8</x:f>
        <x:v>4.312547016</x:v>
      </x:c>
    </x:row>
    <x:row r="9">
      <x:c r="A9" s="1" t="str">
        <x:f>'计价输入'!A9</x:f>
        <x:v>仅 OpenWiki</x:v>
      </x:c>
      <x:c r="B9" s="8" t="n">
        <x:f>'计价输入'!C9</x:f>
        <x:v>3.401639</x:v>
      </x:c>
      <x:c r="C9" s="9" t="n">
        <x:f>'计价输入'!H9/'计价输入'!B9</x:f>
        <x:v>183570.4344262295</x:v>
      </x:c>
      <x:c r="D9" s="9" t="n">
        <x:f>'计价输入'!E9/'计价输入'!B9</x:f>
        <x:v>110439.86885245901</x:v>
      </x:c>
      <x:c r="E9" s="10" t="n">
        <x:f>'计价输入'!J9/'计价输入'!B9</x:f>
        <x:v>0.01290560075409836</x:v>
      </x:c>
      <x:c r="F9" s="10" t="n">
        <x:f>'计价输入'!J9</x:f>
        <x:v>1.5744832919999998</x:v>
      </x:c>
      <x:c r="G9" s="11" t="n">
        <x:f>F9/$F$6-1</x:f>
        <x:v>-0.14203071945589218</x:v>
      </x:c>
      <x:c r="H9" s="10" t="n">
        <x:f>'计价输入'!K9/'计价输入'!B9</x:f>
        <x:v>0.02581120150819672</x:v>
      </x:c>
      <x:c r="I9" s="10" t="n">
        <x:f>'计价输入'!K9</x:f>
        <x:v>3.1489665839999996</x:v>
      </x:c>
    </x:row>
    <x:row r="10">
      <x:c r="A10" s="1" t="str">
        <x:f>'计价输入'!A10</x:f>
        <x:v>代码仓 + /init AGENTS.md</x:v>
      </x:c>
      <x:c r="B10" s="8" t="n">
        <x:f>'计价输入'!C10</x:f>
        <x:v>5.286885</x:v>
      </x:c>
      <x:c r="C10" s="9" t="n">
        <x:f>'计价输入'!H10/'计价输入'!B10</x:f>
        <x:v>417287</x:v>
      </x:c>
      <x:c r="D10" s="9" t="n">
        <x:f>'计价输入'!E10/'计价输入'!B10</x:f>
        <x:v>304960.52459016396</x:v>
      </x:c>
      <x:c r="E10" s="10" t="n">
        <x:f>'计价输入'!J10/'计价输入'!B10</x:f>
        <x:v>0.020624838540983608</x:v>
      </x:c>
      <x:c r="F10" s="10" t="n">
        <x:f>'计价输入'!J10</x:f>
        <x:v>2.5162303020000003</x:v>
      </x:c>
      <x:c r="G10" s="11" t="n">
        <x:f>F10/$F$6-1</x:f>
        <x:v>0.3711471648250577</x:v>
      </x:c>
      <x:c r="H10" s="10" t="n">
        <x:f>'计价输入'!K10/'计价输入'!B10</x:f>
        <x:v>0.041249677081967216</x:v>
      </x:c>
      <x:c r="I10" s="10" t="n">
        <x:f>'计价输入'!K10</x:f>
        <x:v>5.032460604000001</x:v>
      </x:c>
    </x:row>
    <x:row r="11">
      <x:c r="A11" s="1" t="str">
        <x:f>'计价输入'!A11</x:f>
        <x:v>代码仓 + 静默可见 OpenWiki</x:v>
      </x:c>
      <x:c r="B11" s="8" t="n">
        <x:f>'计价输入'!C11</x:f>
        <x:v>5.368852</x:v>
      </x:c>
      <x:c r="C11" s="9" t="n">
        <x:f>'计价输入'!H11/'计价输入'!B11</x:f>
        <x:v>291009.7295081967</x:v>
      </x:c>
      <x:c r="D11" s="9" t="n">
        <x:f>'计价输入'!E11/'计价输入'!B11</x:f>
        <x:v>216766.4262295082</x:v>
      </x:c>
      <x:c r="E11" s="10" t="n">
        <x:f>'计价输入'!J11/'计价输入'!B11</x:f>
        <x:v>0.013970316491803279</x:v>
      </x:c>
      <x:c r="F11" s="10" t="n">
        <x:f>'计价输入'!J11</x:f>
        <x:v>1.704378612</x:v>
      </x:c>
      <x:c r="G11" s="11" t="n">
        <x:f>F11/$F$6-1</x:f>
        <x:v>-0.07124800946290055</x:v>
      </x:c>
      <x:c r="H11" s="10" t="n">
        <x:f>'计价输入'!K11/'计价输入'!B11</x:f>
        <x:v>0.027940632983606557</x:v>
      </x:c>
      <x:c r="I11" s="10" t="n">
        <x:f>'计价输入'!K11</x:f>
        <x:v>3.408757224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3" t="str">
        <x:v>成本为价格代理，不是 GLM-5.2 实际账单；不含重试、评分及知识库生成。</x:v>
      </x:c>
      <x:c r="B13" s="1"/>
      <x:c r="C13" s="1"/>
      <x:c r="D13" s="1"/>
      <x:c r="E13" s="1"/>
      <x:c r="F13" s="1"/>
      <x:c r="G13" s="1"/>
      <x:c r="H13" s="1"/>
      <x:c r="I13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2" ht="26" customHeight="1">
      <x:c r="A2" s="2" t="str">
        <x:v>来源 Token 与计价参数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模型实测为 cannbot/glm-5.2；DeepSeek 仅用于价格折算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8" customHeight="1">
      <x:c r="A5" s="7" t="str">
        <x:v>组别</x:v>
      </x:c>
      <x:c r="B5" s="7" t="str">
        <x:v>题数</x:v>
      </x:c>
      <x:c r="C5" s="7" t="str">
        <x:v>均分 /10</x:v>
      </x:c>
      <x:c r="D5" s="7" t="str">
        <x:v>未缓存输入</x:v>
      </x:c>
      <x:c r="E5" s="7" t="str">
        <x:v>缓存读取</x:v>
      </x:c>
      <x:c r="F5" s="7" t="str">
        <x:v>输出</x:v>
      </x:c>
      <x:c r="G5" s="7" t="str">
        <x:v>推理</x:v>
      </x:c>
      <x:c r="H5" s="7" t="str">
        <x:v>回答总 Token</x:v>
      </x:c>
      <x:c r="I5" s="7" t="str">
        <x:v>输出+推理</x:v>
      </x:c>
      <x:c r="J5" s="7" t="str">
        <x:v>非高峰 USD/122题</x:v>
      </x:c>
      <x:c r="K5" s="7" t="str">
        <x:v>高峰 USD/122题</x:v>
      </x:c>
    </x:row>
    <x:row r="6">
      <x:c r="A6" s="1" t="str">
        <x:v>仅代码仓</x:v>
      </x:c>
      <x:c r="B6" s="9" t="n">
        <x:v>122</x:v>
      </x:c>
      <x:c r="C6" s="8" t="n">
        <x:v>5.393443</x:v>
      </x:c>
      <x:c r="D6" s="9" t="n">
        <x:v>9352700</x:v>
      </x:c>
      <x:c r="E6" s="9" t="n">
        <x:v>21057472</x:v>
      </x:c>
      <x:c r="F6" s="9" t="n">
        <x:v>207431</x:v>
      </x:c>
      <x:c r="G6" s="9" t="n">
        <x:v>407653</x:v>
      </x:c>
      <x:c r="H6" s="9" t="n">
        <x:v>31025256</x:v>
      </x:c>
      <x:c r="I6" s="9" t="n">
        <x:f>SUM(F6:G6)</x:f>
        <x:v>615084</x:v>
      </x:c>
      <x:c r="J6" s="10" t="n">
        <x:f>(D6*$B$16+E6*$C$16+I6*$D$16)/1000000</x:f>
        <x:v>1.835127816</x:v>
      </x:c>
      <x:c r="K6" s="10" t="n">
        <x:f>(D6*$B$17+E6*$C$17+I6*$D$17)/1000000</x:f>
        <x:v>3.670255632</x:v>
      </x:c>
    </x:row>
    <x:row r="7">
      <x:c r="A7" s="1" t="str">
        <x:v>代码仓 + 强制 OpenWiki</x:v>
      </x:c>
      <x:c r="B7" s="9" t="n">
        <x:v>122</x:v>
      </x:c>
      <x:c r="C7" s="8" t="n">
        <x:v>5.655738</x:v>
      </x:c>
      <x:c r="D7" s="9" t="n">
        <x:v>15749363</x:v>
      </x:c>
      <x:c r="E7" s="9" t="n">
        <x:v>40815744</x:v>
      </x:c>
      <x:c r="F7" s="9" t="n">
        <x:v>255892</x:v>
      </x:c>
      <x:c r="G7" s="9" t="n">
        <x:v>615634</x:v>
      </x:c>
      <x:c r="H7" s="9" t="n">
        <x:v>57436633</x:v>
      </x:c>
      <x:c r="I7" s="9" t="n">
        <x:f>SUM(F7:G7)</x:f>
        <x:v>871526</x:v>
      </x:c>
      <x:c r="J7" s="10" t="n">
        <x:f>(D7*$B$16+E7*$C$16+I7*$D$16)/1000000</x:f>
        <x:v>3.0077672819999997</x:v>
      </x:c>
      <x:c r="K7" s="10" t="n">
        <x:f>(D7*$B$17+E7*$C$17+I7*$D$17)/1000000</x:f>
        <x:v>6.015534563999999</x:v>
      </x:c>
    </x:row>
    <x:row r="8">
      <x:c r="A8" s="1" t="str">
        <x:v>代码仓 + 可选 OpenWiki</x:v>
      </x:c>
      <x:c r="B8" s="9" t="n">
        <x:v>122</x:v>
      </x:c>
      <x:c r="C8" s="8" t="n">
        <x:v>5.614754</x:v>
      </x:c>
      <x:c r="D8" s="9" t="n">
        <x:v>11193550</x:v>
      </x:c>
      <x:c r="E8" s="9" t="n">
        <x:v>26537536</x:v>
      </x:c>
      <x:c r="F8" s="9" t="n">
        <x:v>227258</x:v>
      </x:c>
      <x:c r="G8" s="9" t="n">
        <x:v>435456</x:v>
      </x:c>
      <x:c r="H8" s="9" t="n">
        <x:v>38393800</x:v>
      </x:c>
      <x:c r="I8" s="9" t="n">
        <x:f>SUM(F8:G8)</x:f>
        <x:v>662714</x:v>
      </x:c>
      <x:c r="J8" s="10" t="n">
        <x:f>(D8*$B$16+E8*$C$16+I8*$D$16)/1000000</x:f>
        <x:v>2.156273508</x:v>
      </x:c>
      <x:c r="K8" s="10" t="n">
        <x:f>(D8*$B$17+E8*$C$17+I8*$D$17)/1000000</x:f>
        <x:v>4.312547016</x:v>
      </x:c>
    </x:row>
    <x:row r="9">
      <x:c r="A9" s="1" t="str">
        <x:v>仅 OpenWiki</x:v>
      </x:c>
      <x:c r="B9" s="9" t="n">
        <x:v>122</x:v>
      </x:c>
      <x:c r="C9" s="8" t="n">
        <x:v>3.401639</x:v>
      </x:c>
      <x:c r="D9" s="9" t="n">
        <x:v>8486878</x:v>
      </x:c>
      <x:c r="E9" s="9" t="n">
        <x:v>13473664</x:v>
      </x:c>
      <x:c r="F9" s="9" t="n">
        <x:v>176290</x:v>
      </x:c>
      <x:c r="G9" s="9" t="n">
        <x:v>258761</x:v>
      </x:c>
      <x:c r="H9" s="9" t="n">
        <x:v>22395593</x:v>
      </x:c>
      <x:c r="I9" s="9" t="n">
        <x:f>SUM(F9:G9)</x:f>
        <x:v>435051</x:v>
      </x:c>
      <x:c r="J9" s="10" t="n">
        <x:f>(D9*$B$16+E9*$C$16+I9*$D$16)/1000000</x:f>
        <x:v>1.5744832919999998</x:v>
      </x:c>
      <x:c r="K9" s="10" t="n">
        <x:f>(D9*$B$17+E9*$C$17+I9*$D$17)/1000000</x:f>
        <x:v>3.1489665839999996</x:v>
      </x:c>
    </x:row>
    <x:row r="10">
      <x:c r="A10" s="1" t="str">
        <x:v>代码仓 + /init AGENTS.md</x:v>
      </x:c>
      <x:c r="B10" s="9" t="n">
        <x:v>122</x:v>
      </x:c>
      <x:c r="C10" s="8" t="n">
        <x:v>5.286885</x:v>
      </x:c>
      <x:c r="D10" s="9" t="n">
        <x:v>12928185</x:v>
      </x:c>
      <x:c r="E10" s="9" t="n">
        <x:v>37205184</x:v>
      </x:c>
      <x:c r="F10" s="9" t="n">
        <x:v>257499</x:v>
      </x:c>
      <x:c r="G10" s="9" t="n">
        <x:v>518146</x:v>
      </x:c>
      <x:c r="H10" s="9" t="n">
        <x:v>50909014</x:v>
      </x:c>
      <x:c r="I10" s="9" t="n">
        <x:f>SUM(F10:G10)</x:f>
        <x:v>775645</x:v>
      </x:c>
      <x:c r="J10" s="10" t="n">
        <x:f>(D10*$B$16+E10*$C$16+I10*$D$16)/1000000</x:f>
        <x:v>2.5162303020000003</x:v>
      </x:c>
      <x:c r="K10" s="10" t="n">
        <x:f>(D10*$B$17+E10*$C$17+I10*$D$17)/1000000</x:f>
        <x:v>5.032460604000001</x:v>
      </x:c>
    </x:row>
    <x:row r="11">
      <x:c r="A11" s="1" t="str">
        <x:v>代码仓 + 静默可见 OpenWiki</x:v>
      </x:c>
      <x:c r="B11" s="9" t="n">
        <x:v>122</x:v>
      </x:c>
      <x:c r="C11" s="8" t="n">
        <x:v>5.368852</x:v>
      </x:c>
      <x:c r="D11" s="9" t="n">
        <x:v>8465706</x:v>
      </x:c>
      <x:c r="E11" s="9" t="n">
        <x:v>26445504</x:v>
      </x:c>
      <x:c r="F11" s="9" t="n">
        <x:v>223534</x:v>
      </x:c>
      <x:c r="G11" s="9" t="n">
        <x:v>368443</x:v>
      </x:c>
      <x:c r="H11" s="9" t="n">
        <x:v>35503187</x:v>
      </x:c>
      <x:c r="I11" s="9" t="n">
        <x:f>SUM(F11:G11)</x:f>
        <x:v>591977</x:v>
      </x:c>
      <x:c r="J11" s="10" t="n">
        <x:f>(D11*$B$16+E11*$C$16+I11*$D$16)/1000000</x:f>
        <x:v>1.704378612</x:v>
      </x:c>
      <x:c r="K11" s="10" t="n">
        <x:f>(D11*$B$17+E11*$C$17+I11*$D$17)/1000000</x:f>
        <x:v>3.408757224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22" t="str">
        <x:v>DeepSeek Flash 官方价格（USD / 百万 Token）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20" t="str">
        <x:v>时段</x:v>
      </x:c>
      <x:c r="B15" s="20" t="str">
        <x:v>未缓存输入</x:v>
      </x:c>
      <x:c r="C15" s="20" t="str">
        <x:v>缓存命中输入</x:v>
      </x:c>
      <x:c r="D15" s="20" t="str">
        <x:v>输出（含推理）</x:v>
      </x:c>
      <x:c r="E15" s="1"/>
      <x:c r="F15" s="1"/>
      <x:c r="G15" s="1"/>
      <x:c r="H15" s="1"/>
      <x:c r="I15" s="1"/>
      <x:c r="J15" s="1"/>
      <x:c r="K15" s="1"/>
    </x:row>
    <x:row r="16">
      <x:c r="A16" s="1" t="str">
        <x:v>非高峰</x:v>
      </x:c>
      <x:c r="B16" s="21" t="n">
        <x:v>0.15</x:v>
      </x:c>
      <x:c r="C16" s="21" t="n">
        <x:v>0.003</x:v>
      </x:c>
      <x:c r="D16" s="21" t="n">
        <x:v>0.6</x:v>
      </x:c>
      <x:c r="E16" s="1"/>
      <x:c r="F16" s="1"/>
      <x:c r="G16" s="1"/>
      <x:c r="H16" s="1"/>
      <x:c r="I16" s="1"/>
      <x:c r="J16" s="1"/>
      <x:c r="K16" s="1"/>
    </x:row>
    <x:row r="17">
      <x:c r="A17" s="1" t="str">
        <x:v>高峰</x:v>
      </x:c>
      <x:c r="B17" s="21" t="n">
        <x:v>0.3</x:v>
      </x:c>
      <x:c r="C17" s="21" t="n">
        <x:v>0.006</x:v>
      </x:c>
      <x:c r="D17" s="21" t="n">
        <x:v>1.2</x:v>
      </x:c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23" t="str">
        <x:v>价格来源</x:v>
      </x:c>
      <x:c r="B19" s="1" t="str">
        <x:v>https://api-docs.deepseek.com/quick_start/pricing/</x:v>
      </x:c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23" t="str">
        <x:v>实验来源</x:v>
      </x:c>
      <x:c r="B20" s="1" t="str">
        <x:v>https://github.com/SwaGGyZZJ/My-docs/blob/main/experiments/repoprobe-cannbot/six-arm-122/repoprobe-six-arm-122-summary.tsv</x:v>
      </x:c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23" t="str">
        <x:v>计算口径</x:v>
      </x:c>
      <x:c r="B21" s="1" t="str">
        <x:v>未缓存输入×未命中价 + 缓存读取×命中价 + (输出+推理)×输出价；均除以 100 万</x:v>
      </x:c>
      <x:c r="C21" s="1"/>
      <x:c r="D21" s="1"/>
      <x:c r="E21" s="1"/>
      <x:c r="F21" s="1"/>
      <x:c r="G21" s="1"/>
      <x:c r="H21" s="1"/>
      <x:c r="I21" s="1"/>
      <x:c r="J21" s="1"/>
      <x:c r="K21" s="1"/>
    </x:row>
  </x:sheetData>
  <x:pageMargins left="0.7" right="0.7" top="0.75" bottom="0.75" header="0.3" footer="0.3"/>
</x:worksheet>
</file>